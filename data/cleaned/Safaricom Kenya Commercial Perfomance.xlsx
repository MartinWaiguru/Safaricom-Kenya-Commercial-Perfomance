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rtfolio Projects\Safaricom Commercial Perfomance\data\cleaned\"/>
    </mc:Choice>
  </mc:AlternateContent>
  <xr:revisionPtr revIDLastSave="0" documentId="13_ncr:1_{DFC108C6-7B27-4756-8493-0DEE9C108697}" xr6:coauthVersionLast="47" xr6:coauthVersionMax="47" xr10:uidLastSave="{00000000-0000-0000-0000-000000000000}"/>
  <bookViews>
    <workbookView xWindow="-98" yWindow="-98" windowWidth="19396" windowHeight="12196" firstSheet="5" activeTab="5" xr2:uid="{B84D3916-5A1F-46D0-99F4-023D3CBEEBB1}"/>
  </bookViews>
  <sheets>
    <sheet name="Pivot Revenue" sheetId="8" r:id="rId1"/>
    <sheet name="Pivot 2 Revenue" sheetId="9" r:id="rId2"/>
    <sheet name="Revenue" sheetId="1" r:id="rId3"/>
    <sheet name="Connectivity" sheetId="2" r:id="rId4"/>
    <sheet name="Mpesa" sheetId="3" r:id="rId5"/>
    <sheet name="Fixed service &amp; IoT" sheetId="4" r:id="rId6"/>
    <sheet name="Customer_KPI" sheetId="5" r:id="rId7"/>
    <sheet name="Source_Log" sheetId="6" r:id="rId8"/>
    <sheet name="CAGR" sheetId="7" r:id="rId9"/>
  </sheets>
  <definedNames>
    <definedName name="_xlnm._FilterDatabase" localSheetId="8" hidden="1">CAGR!$A$1:$B$4</definedName>
    <definedName name="_xlnm._FilterDatabase" localSheetId="3" hidden="1">Connectivity!$A$1:$C$26</definedName>
    <definedName name="_xlnm._FilterDatabase" localSheetId="6" hidden="1">Customer_KPI!$A$1:$D$51</definedName>
    <definedName name="_xlnm._FilterDatabase" localSheetId="5" hidden="1">'Fixed service &amp; IoT'!$A$1:$C$21</definedName>
    <definedName name="_xlnm._FilterDatabase" localSheetId="4" hidden="1">Mpesa!$A$4:$C$26</definedName>
    <definedName name="_xlnm._FilterDatabase" localSheetId="2" hidden="1">Revenue!$A$1:$F$16</definedName>
    <definedName name="_xlnm._FilterDatabase" localSheetId="7" hidden="1">Source_Log!$A$1:$F$9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7" l="1"/>
  <c r="B3" i="7"/>
  <c r="B2" i="7"/>
  <c r="E6" i="1"/>
  <c r="E7" i="1"/>
  <c r="E8" i="1"/>
  <c r="E9" i="1"/>
  <c r="E10" i="1"/>
  <c r="E11" i="1"/>
  <c r="E12" i="1"/>
  <c r="E16" i="1"/>
  <c r="E15" i="1"/>
  <c r="E14" i="1"/>
  <c r="E13" i="1"/>
  <c r="E5" i="1"/>
  <c r="E4" i="1"/>
  <c r="E3" i="1"/>
  <c r="E2" i="1"/>
  <c r="D16" i="1"/>
  <c r="D15" i="1"/>
  <c r="D13" i="1"/>
  <c r="D9" i="1"/>
  <c r="D14" i="1"/>
  <c r="D12" i="1"/>
  <c r="D11" i="1"/>
  <c r="D10" i="1"/>
  <c r="D8" i="1"/>
  <c r="D7" i="1"/>
  <c r="D6" i="1"/>
  <c r="D5" i="1"/>
</calcChain>
</file>

<file path=xl/sharedStrings.xml><?xml version="1.0" encoding="utf-8"?>
<sst xmlns="http://schemas.openxmlformats.org/spreadsheetml/2006/main" count="279" uniqueCount="77">
  <si>
    <t>Year</t>
  </si>
  <si>
    <t>Business_Area</t>
  </si>
  <si>
    <t>Revenue_KSh_Bn</t>
  </si>
  <si>
    <t>M-PESA</t>
  </si>
  <si>
    <t>Connectivity</t>
  </si>
  <si>
    <t>Fixed Service &amp; IoT</t>
  </si>
  <si>
    <t>Revenue_Line</t>
  </si>
  <si>
    <t>Voice</t>
  </si>
  <si>
    <t>Messaging</t>
  </si>
  <si>
    <t>Mobile Data</t>
  </si>
  <si>
    <t>Other SR</t>
  </si>
  <si>
    <t>Mobile Incoming</t>
  </si>
  <si>
    <t>Revenue_Stream</t>
  </si>
  <si>
    <t>Consumer Payments</t>
  </si>
  <si>
    <t>Business Payments</t>
  </si>
  <si>
    <t>Withdrawals</t>
  </si>
  <si>
    <t>Financial Services</t>
  </si>
  <si>
    <t>Global Payments</t>
  </si>
  <si>
    <t>FTTH</t>
  </si>
  <si>
    <t>FTTB</t>
  </si>
  <si>
    <t>Wholesale</t>
  </si>
  <si>
    <t>IoT</t>
  </si>
  <si>
    <t>Metric</t>
  </si>
  <si>
    <t>Value</t>
  </si>
  <si>
    <t>Unit</t>
  </si>
  <si>
    <t>One-month active customers</t>
  </si>
  <si>
    <t>Million</t>
  </si>
  <si>
    <t>M-PESA active customers</t>
  </si>
  <si>
    <t>Mobile data customers</t>
  </si>
  <si>
    <t>Voice customers</t>
  </si>
  <si>
    <t>Overall active ARPU</t>
  </si>
  <si>
    <t>KSh</t>
  </si>
  <si>
    <t>M-PESA ARPU</t>
  </si>
  <si>
    <t>Data ARPU</t>
  </si>
  <si>
    <t>M-PESA transactions/customer</t>
  </si>
  <si>
    <t>Monthly</t>
  </si>
  <si>
    <t>Data usage/user</t>
  </si>
  <si>
    <t>GB</t>
  </si>
  <si>
    <t>Data rate/MB</t>
  </si>
  <si>
    <t>cents</t>
  </si>
  <si>
    <t>Variable</t>
  </si>
  <si>
    <t>Report</t>
  </si>
  <si>
    <t>Section</t>
  </si>
  <si>
    <t>Notes</t>
  </si>
  <si>
    <t>M-PESA Revenue</t>
  </si>
  <si>
    <t>Active Customers</t>
  </si>
  <si>
    <t>KPIs</t>
  </si>
  <si>
    <t>Data Usage</t>
  </si>
  <si>
    <t>CAGR</t>
  </si>
  <si>
    <t>YoY  Growth %</t>
  </si>
  <si>
    <t>Revenue Mix %</t>
  </si>
  <si>
    <t>Total Service Revenue</t>
  </si>
  <si>
    <t>Business Area</t>
  </si>
  <si>
    <t>Value/Metric</t>
  </si>
  <si>
    <t>Source Organization</t>
  </si>
  <si>
    <t>Safaricom PLC</t>
  </si>
  <si>
    <t>Connectivity Revenue</t>
  </si>
  <si>
    <t>Millions</t>
  </si>
  <si>
    <t>Data Rate</t>
  </si>
  <si>
    <t>Row Labels</t>
  </si>
  <si>
    <t>Grand Total</t>
  </si>
  <si>
    <t>Column Labels</t>
  </si>
  <si>
    <t>Sum of Revenue_KSh_Bn</t>
  </si>
  <si>
    <t>Sum of YoY  Growth %</t>
  </si>
  <si>
    <t>M-PESA revenue</t>
  </si>
  <si>
    <t>FY Results Booklet</t>
  </si>
  <si>
    <t>KSh billions</t>
  </si>
  <si>
    <t>Connectivity revenue</t>
  </si>
  <si>
    <t>Fixed Service &amp; IoT Revenue</t>
  </si>
  <si>
    <t>Fixed Service &amp; IoT revenue</t>
  </si>
  <si>
    <t>Average revenue per user</t>
  </si>
  <si>
    <t>Data usage per subscriber</t>
  </si>
  <si>
    <t>Rate per MB</t>
  </si>
  <si>
    <t>Cents per MB</t>
  </si>
  <si>
    <t>M-PESA Transactions per Customer</t>
  </si>
  <si>
    <t>Monthly transactions</t>
  </si>
  <si>
    <t>Transactions/customer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</si>
</sst>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" fontId="0" fillId="0" borderId="0" xfId="0" applyNumberFormat="1"/>
    <xf numFmtId="10" fontId="0" fillId="0" borderId="0" xfId="0" applyNumberFormat="1"/>
    <xf numFmtId="0" fontId="1" fillId="0" borderId="0" xfId="0" applyFont="1"/>
    <xf numFmtId="2" fontId="1" fillId="0" borderId="0" xfId="0" applyNumberFormat="1" applyFont="1"/>
    <xf numFmtId="10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[Safaricom Kenya Commercial Perfomance.xlsx]Pivot Revenue!PivotTable1</c:name>
    <c:fmtId val="1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Revenue'!$B$3:$B$4</c:f>
              <c:strCache>
                <c:ptCount val="1"/>
                <c:pt idx="0">
                  <c:v>Connectivity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Revenue'!$A$5:$A$10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'Pivot Revenue'!$B$5:$B$10</c:f>
              <c:numCache>
                <c:formatCode>General</c:formatCode>
                <c:ptCount val="5"/>
                <c:pt idx="0">
                  <c:v>161.69999999999999</c:v>
                </c:pt>
                <c:pt idx="1">
                  <c:v>163.72999999999999</c:v>
                </c:pt>
                <c:pt idx="2">
                  <c:v>173.94</c:v>
                </c:pt>
                <c:pt idx="3">
                  <c:v>185.16</c:v>
                </c:pt>
                <c:pt idx="4">
                  <c:v>197.87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A0-486F-B85A-49B18C34DFF7}"/>
            </c:ext>
          </c:extLst>
        </c:ser>
        <c:ser>
          <c:idx val="1"/>
          <c:order val="1"/>
          <c:tx>
            <c:strRef>
              <c:f>'Pivot Revenue'!$C$3:$C$4</c:f>
              <c:strCache>
                <c:ptCount val="1"/>
                <c:pt idx="0">
                  <c:v>Fixed Service &amp; IoT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Revenue'!$A$5:$A$10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'Pivot Revenue'!$C$5:$C$10</c:f>
              <c:numCache>
                <c:formatCode>General</c:formatCode>
                <c:ptCount val="5"/>
                <c:pt idx="0">
                  <c:v>11.72</c:v>
                </c:pt>
                <c:pt idx="1">
                  <c:v>14.26</c:v>
                </c:pt>
                <c:pt idx="2">
                  <c:v>15.95</c:v>
                </c:pt>
                <c:pt idx="3">
                  <c:v>18</c:v>
                </c:pt>
                <c:pt idx="4">
                  <c:v>20.2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6A0-486F-B85A-49B18C34DFF7}"/>
            </c:ext>
          </c:extLst>
        </c:ser>
        <c:ser>
          <c:idx val="2"/>
          <c:order val="2"/>
          <c:tx>
            <c:strRef>
              <c:f>'Pivot Revenue'!$D$3:$D$4</c:f>
              <c:strCache>
                <c:ptCount val="1"/>
                <c:pt idx="0">
                  <c:v>M-PESA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Revenue'!$A$5:$A$10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'Pivot Revenue'!$D$5:$D$10</c:f>
              <c:numCache>
                <c:formatCode>General</c:formatCode>
                <c:ptCount val="5"/>
                <c:pt idx="0">
                  <c:v>107.69</c:v>
                </c:pt>
                <c:pt idx="1">
                  <c:v>117.19</c:v>
                </c:pt>
                <c:pt idx="2">
                  <c:v>139.91</c:v>
                </c:pt>
                <c:pt idx="3">
                  <c:v>161.12</c:v>
                </c:pt>
                <c:pt idx="4">
                  <c:v>182.73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6A0-486F-B85A-49B18C34D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7387472"/>
        <c:axId val="1421510912"/>
      </c:lineChart>
      <c:catAx>
        <c:axId val="1347387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421510912"/>
        <c:crosses val="autoZero"/>
        <c:auto val="1"/>
        <c:lblAlgn val="ctr"/>
        <c:lblOffset val="100"/>
        <c:noMultiLvlLbl val="0"/>
      </c:catAx>
      <c:valAx>
        <c:axId val="142151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347387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[Safaricom Kenya Commercial Perfomance.xlsx]Pivot 2 Revenue!PivotTable2</c:name>
    <c:fmtId val="1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2 Revenue'!$B$3:$B$4</c:f>
              <c:strCache>
                <c:ptCount val="1"/>
                <c:pt idx="0">
                  <c:v>Connectivity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2 Revenue'!$A$5:$A$10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'Pivot 2 Revenue'!$B$5:$B$10</c:f>
              <c:numCache>
                <c:formatCode>General</c:formatCode>
                <c:ptCount val="5"/>
                <c:pt idx="1">
                  <c:v>1.2554112554112562E-2</c:v>
                </c:pt>
                <c:pt idx="2">
                  <c:v>6.2358761375435223E-2</c:v>
                </c:pt>
                <c:pt idx="3">
                  <c:v>6.4505001724732655E-2</c:v>
                </c:pt>
                <c:pt idx="4">
                  <c:v>6.8643335493627181E-2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DA-4E40-A3A8-8FF145BD15B8}"/>
            </c:ext>
          </c:extLst>
        </c:ser>
        <c:ser>
          <c:idx val="1"/>
          <c:order val="1"/>
          <c:tx>
            <c:strRef>
              <c:f>'Pivot 2 Revenue'!$C$3:$C$4</c:f>
              <c:strCache>
                <c:ptCount val="1"/>
                <c:pt idx="0">
                  <c:v>Fixed Service &amp; IoT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2 Revenue'!$A$5:$A$10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'Pivot 2 Revenue'!$C$5:$C$10</c:f>
              <c:numCache>
                <c:formatCode>General</c:formatCode>
                <c:ptCount val="5"/>
                <c:pt idx="1">
                  <c:v>0.21672354948805453</c:v>
                </c:pt>
                <c:pt idx="2">
                  <c:v>0.11851332398316967</c:v>
                </c:pt>
                <c:pt idx="3">
                  <c:v>0.12852664576802514</c:v>
                </c:pt>
                <c:pt idx="4">
                  <c:v>0.12222222222222218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DA-4E40-A3A8-8FF145BD15B8}"/>
            </c:ext>
          </c:extLst>
        </c:ser>
        <c:ser>
          <c:idx val="2"/>
          <c:order val="2"/>
          <c:tx>
            <c:strRef>
              <c:f>'Pivot 2 Revenue'!$D$3:$D$4</c:f>
              <c:strCache>
                <c:ptCount val="1"/>
                <c:pt idx="0">
                  <c:v>M-PESA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'Pivot 2 Revenue'!$A$5:$A$10</c:f>
              <c:strCache>
                <c:ptCount val="5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2025</c:v>
                </c:pt>
                <c:pt idx="4">
                  <c:v>2026</c:v>
                </c:pt>
              </c:strCache>
            </c:strRef>
          </c:cat>
          <c:val>
            <c:numRef>
              <c:f>'Pivot 2 Revenue'!$D$5:$D$10</c:f>
              <c:numCache>
                <c:formatCode>General</c:formatCode>
                <c:ptCount val="5"/>
                <c:pt idx="1">
                  <c:v>8.8216176060915599E-2</c:v>
                </c:pt>
                <c:pt idx="2">
                  <c:v>0.1938731973717894</c:v>
                </c:pt>
                <c:pt idx="3">
                  <c:v>0.15159745550711179</c:v>
                </c:pt>
                <c:pt idx="4">
                  <c:v>0.13412363455809326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8DA-4E40-A3A8-8FF145BD1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5553200"/>
        <c:axId val="1421489792"/>
      </c:lineChart>
      <c:catAx>
        <c:axId val="1525553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421489792"/>
        <c:crosses val="autoZero"/>
        <c:auto val="1"/>
        <c:lblAlgn val="ctr"/>
        <c:lblOffset val="100"/>
        <c:noMultiLvlLbl val="0"/>
      </c:catAx>
      <c:valAx>
        <c:axId val="142148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S"/>
          </a:p>
        </c:txPr>
        <c:crossAx val="1525553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A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812005</xdr:colOff>
      <xdr:row>10</xdr:row>
      <xdr:rowOff>164306</xdr:rowOff>
    </xdr:from>
    <xdr:to>
      <xdr:col>9</xdr:col>
      <xdr:colOff>473868</xdr:colOff>
      <xdr:row>26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116133-6CD9-D5EB-AFE1-DF3ADE935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740568</xdr:colOff>
      <xdr:row>10</xdr:row>
      <xdr:rowOff>135731</xdr:rowOff>
    </xdr:from>
    <xdr:to>
      <xdr:col>8</xdr:col>
      <xdr:colOff>573880</xdr:colOff>
      <xdr:row>25</xdr:row>
      <xdr:rowOff>164306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00AA60-B44F-28AB-2B51-0055B8F5D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Waiguru" refreshedDate="46287.742797453706" createdVersion="8" refreshedVersion="8" minRefreshableVersion="3" recordCount="15" xr:uid="{426AD35A-4B26-4654-A374-352CAA3E8252}">
  <cacheSource type="worksheet">
    <worksheetSource ref="A1:F16" sheet="Revenue"/>
  </cacheSource>
  <cacheFields count="6">
    <cacheField name="Year" numFmtId="0">
      <sharedItems containsSemiMixedTypes="0" containsString="0" containsNumber="1" containsInteger="1" minValue="2022" maxValue="2026" count="5">
        <n v="2022"/>
        <n v="2023"/>
        <n v="2024"/>
        <n v="2025"/>
        <n v="2026"/>
      </sharedItems>
    </cacheField>
    <cacheField name="Business_Area" numFmtId="0">
      <sharedItems count="3">
        <s v="M-PESA"/>
        <s v="Connectivity"/>
        <s v="Fixed Service &amp; IoT"/>
      </sharedItems>
    </cacheField>
    <cacheField name="Revenue_KSh_Bn" numFmtId="0">
      <sharedItems containsSemiMixedTypes="0" containsString="0" containsNumber="1" minValue="11.72" maxValue="197.87"/>
    </cacheField>
    <cacheField name="YoY  Growth %" numFmtId="10">
      <sharedItems containsString="0" containsBlank="1" containsNumber="1" minValue="1.2554112554112562E-2" maxValue="0.21672354948805453"/>
    </cacheField>
    <cacheField name="Revenue Mix %" numFmtId="10">
      <sharedItems containsSemiMixedTypes="0" containsString="0" containsNumber="1" minValue="4.1691864394720925E-2" maxValue="0.5752196648998612"/>
    </cacheField>
    <cacheField name="Total Service Revenu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x v="0"/>
    <x v="0"/>
    <n v="107.69"/>
    <m/>
    <n v="0.38308847070541779"/>
    <m/>
  </r>
  <r>
    <x v="0"/>
    <x v="1"/>
    <n v="161.69999999999999"/>
    <m/>
    <n v="0.5752196648998612"/>
    <m/>
  </r>
  <r>
    <x v="0"/>
    <x v="2"/>
    <n v="11.72"/>
    <m/>
    <n v="4.1691864394720925E-2"/>
    <m/>
  </r>
  <r>
    <x v="1"/>
    <x v="0"/>
    <n v="117.19"/>
    <n v="8.8216176060915599E-2"/>
    <n v="0.39701199268243109"/>
    <m/>
  </r>
  <r>
    <x v="1"/>
    <x v="1"/>
    <n v="163.72999999999999"/>
    <n v="1.2554112554112562E-2"/>
    <n v="0.55467850125347251"/>
    <m/>
  </r>
  <r>
    <x v="1"/>
    <x v="2"/>
    <n v="14.26"/>
    <n v="0.21672354948805453"/>
    <n v="4.8309506064096494E-2"/>
    <m/>
  </r>
  <r>
    <x v="2"/>
    <x v="0"/>
    <n v="139.91"/>
    <n v="0.1938731973717894"/>
    <n v="0.42422680412371133"/>
    <m/>
  </r>
  <r>
    <x v="2"/>
    <x v="1"/>
    <n v="173.94"/>
    <n v="6.2358761375435223E-2"/>
    <n v="0.52741055184960584"/>
    <m/>
  </r>
  <r>
    <x v="2"/>
    <x v="2"/>
    <n v="15.95"/>
    <n v="0.11851332398316967"/>
    <n v="4.8362644026682833E-2"/>
    <m/>
  </r>
  <r>
    <x v="3"/>
    <x v="0"/>
    <n v="161.12"/>
    <n v="0.15159745550711179"/>
    <n v="0.44229713407269139"/>
    <m/>
  </r>
  <r>
    <x v="3"/>
    <x v="1"/>
    <n v="185.16"/>
    <n v="6.4505001724732655E-2"/>
    <n v="0.5082903261227627"/>
    <m/>
  </r>
  <r>
    <x v="3"/>
    <x v="2"/>
    <n v="18"/>
    <n v="0.12852664576802514"/>
    <n v="4.9412539804545956E-2"/>
    <m/>
  </r>
  <r>
    <x v="4"/>
    <x v="0"/>
    <n v="182.73"/>
    <n v="0.13412363455809326"/>
    <n v="0.45591317365269457"/>
    <m/>
  </r>
  <r>
    <x v="4"/>
    <x v="1"/>
    <n v="197.87"/>
    <n v="6.8643335493627181E-2"/>
    <n v="0.49368762475049899"/>
    <m/>
  </r>
  <r>
    <x v="4"/>
    <x v="2"/>
    <n v="20.2"/>
    <n v="0.12222222222222218"/>
    <n v="5.0399201596806387E-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767C92-DB01-4C9F-AC8D-418F796B899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E10" firstHeaderRow="1" firstDataRow="2" firstDataCol="1"/>
  <pivotFields count="6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dataField="1" showAll="0"/>
    <pivotField showAll="0"/>
    <pivotField numFmtId="10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Revenue_KSh_Bn" fld="2" baseField="0" baseItem="0"/>
  </dataFields>
  <chartFormats count="3"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1857D2-F7DE-44C8-AC02-C86EB9CA71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10" firstHeaderRow="1" firstDataRow="2" firstDataCol="1"/>
  <pivotFields count="6"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dataField="1" showAll="0"/>
    <pivotField numFmtId="10"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YoY  Growth %" fld="3" baseField="0" baseItem="0"/>
  </dataFields>
  <formats count="2">
    <format dxfId="1">
      <pivotArea collapsedLevelsAreSubtotals="1" fieldPosition="0">
        <references count="1">
          <reference field="0" count="4">
            <x v="1"/>
            <x v="2"/>
            <x v="3"/>
            <x v="4"/>
          </reference>
        </references>
      </pivotArea>
    </format>
    <format dxfId="0">
      <pivotArea grandRow="1" outline="0" collapsedLevelsAreSubtotals="1" fieldPosition="0"/>
    </format>
  </formats>
  <chartFormats count="3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A213A-0062-4AA4-926E-AA132426E8B2}">
  <dimension ref="A3:E10"/>
  <sheetViews>
    <sheetView workbookViewId="0">
      <selection activeCell="A3" sqref="A3"/>
    </sheetView>
  </sheetViews>
  <sheetFormatPr defaultRowHeight="14.25" x14ac:dyDescent="0.45"/>
  <cols>
    <col min="1" max="1" width="20.53125" bestFit="1" customWidth="1"/>
    <col min="2" max="2" width="14.73046875" bestFit="1" customWidth="1"/>
    <col min="3" max="3" width="15.6640625" bestFit="1" customWidth="1"/>
    <col min="4" max="4" width="6.9296875" bestFit="1" customWidth="1"/>
    <col min="5" max="5" width="9.86328125" bestFit="1" customWidth="1"/>
  </cols>
  <sheetData>
    <row r="3" spans="1:5" x14ac:dyDescent="0.45">
      <c r="A3" s="6" t="s">
        <v>62</v>
      </c>
      <c r="B3" s="6" t="s">
        <v>61</v>
      </c>
    </row>
    <row r="4" spans="1:5" x14ac:dyDescent="0.45">
      <c r="A4" s="6" t="s">
        <v>59</v>
      </c>
      <c r="B4" t="s">
        <v>4</v>
      </c>
      <c r="C4" t="s">
        <v>5</v>
      </c>
      <c r="D4" t="s">
        <v>3</v>
      </c>
      <c r="E4" t="s">
        <v>60</v>
      </c>
    </row>
    <row r="5" spans="1:5" x14ac:dyDescent="0.45">
      <c r="A5" s="7">
        <v>2022</v>
      </c>
      <c r="B5">
        <v>161.69999999999999</v>
      </c>
      <c r="C5">
        <v>11.72</v>
      </c>
      <c r="D5">
        <v>107.69</v>
      </c>
      <c r="E5">
        <v>281.11</v>
      </c>
    </row>
    <row r="6" spans="1:5" x14ac:dyDescent="0.45">
      <c r="A6" s="7">
        <v>2023</v>
      </c>
      <c r="B6">
        <v>163.72999999999999</v>
      </c>
      <c r="C6">
        <v>14.26</v>
      </c>
      <c r="D6">
        <v>117.19</v>
      </c>
      <c r="E6">
        <v>295.17999999999995</v>
      </c>
    </row>
    <row r="7" spans="1:5" x14ac:dyDescent="0.45">
      <c r="A7" s="7">
        <v>2024</v>
      </c>
      <c r="B7">
        <v>173.94</v>
      </c>
      <c r="C7">
        <v>15.95</v>
      </c>
      <c r="D7">
        <v>139.91</v>
      </c>
      <c r="E7">
        <v>329.79999999999995</v>
      </c>
    </row>
    <row r="8" spans="1:5" x14ac:dyDescent="0.45">
      <c r="A8" s="7">
        <v>2025</v>
      </c>
      <c r="B8">
        <v>185.16</v>
      </c>
      <c r="C8">
        <v>18</v>
      </c>
      <c r="D8">
        <v>161.12</v>
      </c>
      <c r="E8">
        <v>364.28</v>
      </c>
    </row>
    <row r="9" spans="1:5" x14ac:dyDescent="0.45">
      <c r="A9" s="7">
        <v>2026</v>
      </c>
      <c r="B9">
        <v>197.87</v>
      </c>
      <c r="C9">
        <v>20.2</v>
      </c>
      <c r="D9">
        <v>182.73</v>
      </c>
      <c r="E9">
        <v>400.79999999999995</v>
      </c>
    </row>
    <row r="10" spans="1:5" x14ac:dyDescent="0.45">
      <c r="A10" s="7" t="s">
        <v>60</v>
      </c>
      <c r="B10">
        <v>882.4</v>
      </c>
      <c r="C10">
        <v>80.13</v>
      </c>
      <c r="D10">
        <v>708.64</v>
      </c>
      <c r="E10">
        <v>1671.1699999999998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9A358-7005-4A57-A6AD-1B135DADB3B4}">
  <dimension ref="A3:E10"/>
  <sheetViews>
    <sheetView workbookViewId="0">
      <selection activeCell="D8" sqref="D8"/>
    </sheetView>
  </sheetViews>
  <sheetFormatPr defaultRowHeight="14.25" x14ac:dyDescent="0.45"/>
  <cols>
    <col min="1" max="1" width="18.06640625" bestFit="1" customWidth="1"/>
    <col min="2" max="2" width="14.73046875" bestFit="1" customWidth="1"/>
    <col min="3" max="3" width="15.6640625" bestFit="1" customWidth="1"/>
    <col min="4" max="5" width="11.73046875" bestFit="1" customWidth="1"/>
  </cols>
  <sheetData>
    <row r="3" spans="1:5" x14ac:dyDescent="0.45">
      <c r="A3" s="6" t="s">
        <v>63</v>
      </c>
      <c r="B3" s="6" t="s">
        <v>61</v>
      </c>
    </row>
    <row r="4" spans="1:5" x14ac:dyDescent="0.45">
      <c r="A4" s="6" t="s">
        <v>59</v>
      </c>
      <c r="B4" t="s">
        <v>4</v>
      </c>
      <c r="C4" t="s">
        <v>5</v>
      </c>
      <c r="D4" t="s">
        <v>3</v>
      </c>
      <c r="E4" t="s">
        <v>60</v>
      </c>
    </row>
    <row r="5" spans="1:5" x14ac:dyDescent="0.45">
      <c r="A5" s="7">
        <v>2022</v>
      </c>
    </row>
    <row r="6" spans="1:5" x14ac:dyDescent="0.45">
      <c r="A6" s="7">
        <v>2023</v>
      </c>
      <c r="B6" s="2">
        <v>1.2554112554112562E-2</v>
      </c>
      <c r="C6" s="2">
        <v>0.21672354948805453</v>
      </c>
      <c r="D6" s="2">
        <v>8.8216176060915599E-2</v>
      </c>
      <c r="E6" s="2">
        <v>0.31749383810308268</v>
      </c>
    </row>
    <row r="7" spans="1:5" x14ac:dyDescent="0.45">
      <c r="A7" s="7">
        <v>2024</v>
      </c>
      <c r="B7" s="2">
        <v>6.2358761375435223E-2</v>
      </c>
      <c r="C7" s="2">
        <v>0.11851332398316967</v>
      </c>
      <c r="D7" s="2">
        <v>0.1938731973717894</v>
      </c>
      <c r="E7" s="2">
        <v>0.37474528273039431</v>
      </c>
    </row>
    <row r="8" spans="1:5" x14ac:dyDescent="0.45">
      <c r="A8" s="7">
        <v>2025</v>
      </c>
      <c r="B8" s="2">
        <v>6.4505001724732655E-2</v>
      </c>
      <c r="C8" s="2">
        <v>0.12852664576802514</v>
      </c>
      <c r="D8" s="2">
        <v>0.15159745550711179</v>
      </c>
      <c r="E8" s="2">
        <v>0.3446291029998696</v>
      </c>
    </row>
    <row r="9" spans="1:5" x14ac:dyDescent="0.45">
      <c r="A9" s="7">
        <v>2026</v>
      </c>
      <c r="B9" s="2">
        <v>6.8643335493627181E-2</v>
      </c>
      <c r="C9" s="2">
        <v>0.12222222222222218</v>
      </c>
      <c r="D9" s="2">
        <v>0.13412363455809326</v>
      </c>
      <c r="E9" s="2">
        <v>0.32498919227394263</v>
      </c>
    </row>
    <row r="10" spans="1:5" x14ac:dyDescent="0.45">
      <c r="A10" s="7" t="s">
        <v>60</v>
      </c>
      <c r="B10" s="2">
        <v>0.2080612111479076</v>
      </c>
      <c r="C10" s="2">
        <v>0.58598574146147153</v>
      </c>
      <c r="D10" s="2">
        <v>0.56781046349791009</v>
      </c>
      <c r="E10" s="2">
        <v>1.3618574161072892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8AF54-AD5E-4732-A1A7-374687BDA022}">
  <dimension ref="A1:I16"/>
  <sheetViews>
    <sheetView workbookViewId="0">
      <selection activeCell="C6" sqref="C6"/>
    </sheetView>
  </sheetViews>
  <sheetFormatPr defaultRowHeight="14.25" x14ac:dyDescent="0.45"/>
  <cols>
    <col min="1" max="1" width="7.796875" customWidth="1"/>
    <col min="2" max="2" width="16.19921875" customWidth="1"/>
    <col min="3" max="3" width="14.265625" customWidth="1"/>
    <col min="4" max="4" width="12.53125" style="2" customWidth="1"/>
    <col min="5" max="5" width="13.3984375" customWidth="1"/>
    <col min="6" max="6" width="18" customWidth="1"/>
    <col min="7" max="8" width="9.06640625" customWidth="1"/>
    <col min="9" max="9" width="9.3984375" customWidth="1"/>
  </cols>
  <sheetData>
    <row r="1" spans="1:9" x14ac:dyDescent="0.45">
      <c r="A1" s="3" t="s">
        <v>0</v>
      </c>
      <c r="B1" s="3" t="s">
        <v>1</v>
      </c>
      <c r="C1" s="3" t="s">
        <v>2</v>
      </c>
      <c r="D1" s="5" t="s">
        <v>49</v>
      </c>
      <c r="E1" s="5" t="s">
        <v>50</v>
      </c>
      <c r="F1" s="3" t="s">
        <v>51</v>
      </c>
      <c r="G1" s="3"/>
      <c r="H1" s="3"/>
      <c r="I1" s="3"/>
    </row>
    <row r="2" spans="1:9" x14ac:dyDescent="0.45">
      <c r="A2">
        <v>2022</v>
      </c>
      <c r="B2" t="s">
        <v>3</v>
      </c>
      <c r="C2">
        <v>107.69</v>
      </c>
      <c r="E2" s="2">
        <f>C2/SUM($C$2:$C$4)</f>
        <v>0.38308847070541779</v>
      </c>
    </row>
    <row r="3" spans="1:9" x14ac:dyDescent="0.45">
      <c r="A3">
        <v>2022</v>
      </c>
      <c r="B3" t="s">
        <v>4</v>
      </c>
      <c r="C3">
        <v>161.69999999999999</v>
      </c>
      <c r="E3" s="2">
        <f>C3/SUM($C$2:$C$4)</f>
        <v>0.5752196648998612</v>
      </c>
    </row>
    <row r="4" spans="1:9" x14ac:dyDescent="0.45">
      <c r="A4">
        <v>2022</v>
      </c>
      <c r="B4" t="s">
        <v>5</v>
      </c>
      <c r="C4">
        <v>11.72</v>
      </c>
      <c r="E4" s="2">
        <f>C4/SUM($C$2:$C$4)</f>
        <v>4.1691864394720925E-2</v>
      </c>
    </row>
    <row r="5" spans="1:9" x14ac:dyDescent="0.45">
      <c r="A5">
        <v>2023</v>
      </c>
      <c r="B5" t="s">
        <v>3</v>
      </c>
      <c r="C5">
        <v>117.19</v>
      </c>
      <c r="D5" s="2">
        <f t="shared" ref="D5:D16" si="0">(C5-C2)/C2</f>
        <v>8.8216176060915599E-2</v>
      </c>
      <c r="E5" s="2">
        <f>C5/SUM($C$5:$C$7)</f>
        <v>0.39701199268243109</v>
      </c>
    </row>
    <row r="6" spans="1:9" x14ac:dyDescent="0.45">
      <c r="A6">
        <v>2023</v>
      </c>
      <c r="B6" t="s">
        <v>4</v>
      </c>
      <c r="C6">
        <v>163.72999999999999</v>
      </c>
      <c r="D6" s="2">
        <f t="shared" si="0"/>
        <v>1.2554112554112562E-2</v>
      </c>
      <c r="E6" s="2">
        <f>C6/SUM(C5:$C$7)</f>
        <v>0.55467850125347251</v>
      </c>
    </row>
    <row r="7" spans="1:9" x14ac:dyDescent="0.45">
      <c r="A7">
        <v>2023</v>
      </c>
      <c r="B7" t="s">
        <v>5</v>
      </c>
      <c r="C7">
        <v>14.26</v>
      </c>
      <c r="D7" s="2">
        <f t="shared" si="0"/>
        <v>0.21672354948805453</v>
      </c>
      <c r="E7" s="2">
        <f>C7/SUM(C5:$C$7)</f>
        <v>4.8309506064096494E-2</v>
      </c>
    </row>
    <row r="8" spans="1:9" x14ac:dyDescent="0.45">
      <c r="A8">
        <v>2024</v>
      </c>
      <c r="B8" t="s">
        <v>3</v>
      </c>
      <c r="C8">
        <v>139.91</v>
      </c>
      <c r="D8" s="2">
        <f t="shared" si="0"/>
        <v>0.1938731973717894</v>
      </c>
      <c r="E8" s="2">
        <f>C8/SUM(C8:$C$10)</f>
        <v>0.42422680412371133</v>
      </c>
    </row>
    <row r="9" spans="1:9" x14ac:dyDescent="0.45">
      <c r="A9">
        <v>2024</v>
      </c>
      <c r="B9" t="s">
        <v>4</v>
      </c>
      <c r="C9">
        <v>173.94</v>
      </c>
      <c r="D9" s="2">
        <f t="shared" si="0"/>
        <v>6.2358761375435223E-2</v>
      </c>
      <c r="E9" s="2">
        <f>C9/SUM(C8:$C$10)</f>
        <v>0.52741055184960584</v>
      </c>
    </row>
    <row r="10" spans="1:9" x14ac:dyDescent="0.45">
      <c r="A10">
        <v>2024</v>
      </c>
      <c r="B10" t="s">
        <v>5</v>
      </c>
      <c r="C10">
        <v>15.95</v>
      </c>
      <c r="D10" s="2">
        <f t="shared" si="0"/>
        <v>0.11851332398316967</v>
      </c>
      <c r="E10" s="2">
        <f>C10/SUM(C8:$C$10)</f>
        <v>4.8362644026682833E-2</v>
      </c>
    </row>
    <row r="11" spans="1:9" x14ac:dyDescent="0.45">
      <c r="A11">
        <v>2025</v>
      </c>
      <c r="B11" t="s">
        <v>3</v>
      </c>
      <c r="C11">
        <v>161.12</v>
      </c>
      <c r="D11" s="2">
        <f t="shared" si="0"/>
        <v>0.15159745550711179</v>
      </c>
      <c r="E11" s="2">
        <f>C11/SUM(C11:$C$13)</f>
        <v>0.44229713407269139</v>
      </c>
    </row>
    <row r="12" spans="1:9" x14ac:dyDescent="0.45">
      <c r="A12">
        <v>2025</v>
      </c>
      <c r="B12" t="s">
        <v>4</v>
      </c>
      <c r="C12">
        <v>185.16</v>
      </c>
      <c r="D12" s="2">
        <f t="shared" si="0"/>
        <v>6.4505001724732655E-2</v>
      </c>
      <c r="E12" s="2">
        <f>C12/SUM(C11:$C$13)</f>
        <v>0.5082903261227627</v>
      </c>
    </row>
    <row r="13" spans="1:9" x14ac:dyDescent="0.45">
      <c r="A13">
        <v>2025</v>
      </c>
      <c r="B13" t="s">
        <v>5</v>
      </c>
      <c r="C13">
        <v>18</v>
      </c>
      <c r="D13" s="2">
        <f t="shared" si="0"/>
        <v>0.12852664576802514</v>
      </c>
      <c r="E13" s="2">
        <f>C13/SUM($C$11:$C$13)</f>
        <v>4.9412539804545956E-2</v>
      </c>
    </row>
    <row r="14" spans="1:9" x14ac:dyDescent="0.45">
      <c r="A14">
        <v>2026</v>
      </c>
      <c r="B14" t="s">
        <v>3</v>
      </c>
      <c r="C14">
        <v>182.73</v>
      </c>
      <c r="D14" s="2">
        <f t="shared" si="0"/>
        <v>0.13412363455809326</v>
      </c>
      <c r="E14" s="2">
        <f>C14/SUM($C$14:$C$16)</f>
        <v>0.45591317365269457</v>
      </c>
    </row>
    <row r="15" spans="1:9" x14ac:dyDescent="0.45">
      <c r="A15">
        <v>2026</v>
      </c>
      <c r="B15" t="s">
        <v>4</v>
      </c>
      <c r="C15">
        <v>197.87</v>
      </c>
      <c r="D15" s="2">
        <f t="shared" si="0"/>
        <v>6.8643335493627181E-2</v>
      </c>
      <c r="E15" s="2">
        <f>C15/SUM($C$14:$C$16)</f>
        <v>0.49368762475049899</v>
      </c>
    </row>
    <row r="16" spans="1:9" x14ac:dyDescent="0.45">
      <c r="A16">
        <v>2026</v>
      </c>
      <c r="B16" t="s">
        <v>5</v>
      </c>
      <c r="C16">
        <v>20.2</v>
      </c>
      <c r="D16" s="2">
        <f t="shared" si="0"/>
        <v>0.12222222222222218</v>
      </c>
      <c r="E16" s="2">
        <f>C16/SUM($C$14:$C$16)</f>
        <v>5.0399201596806387E-2</v>
      </c>
    </row>
  </sheetData>
  <autoFilter ref="A1:F16" xr:uid="{B378AF54-AD5E-4732-A1A7-374687BDA02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71AF4-9C2A-4801-8C8C-F37DC71766D7}">
  <dimension ref="A1:C26"/>
  <sheetViews>
    <sheetView workbookViewId="0">
      <selection sqref="A1:C1"/>
    </sheetView>
  </sheetViews>
  <sheetFormatPr defaultRowHeight="14.25" x14ac:dyDescent="0.45"/>
  <cols>
    <col min="1" max="1" width="6.19921875" customWidth="1"/>
    <col min="2" max="2" width="14.1328125" customWidth="1"/>
    <col min="3" max="3" width="14.33203125" customWidth="1"/>
  </cols>
  <sheetData>
    <row r="1" spans="1:3" x14ac:dyDescent="0.45">
      <c r="A1" s="3" t="s">
        <v>0</v>
      </c>
      <c r="B1" s="3" t="s">
        <v>6</v>
      </c>
      <c r="C1" s="3" t="s">
        <v>2</v>
      </c>
    </row>
    <row r="2" spans="1:3" x14ac:dyDescent="0.45">
      <c r="A2">
        <v>2022</v>
      </c>
      <c r="B2" t="s">
        <v>7</v>
      </c>
      <c r="C2">
        <v>83.21</v>
      </c>
    </row>
    <row r="3" spans="1:3" x14ac:dyDescent="0.45">
      <c r="A3">
        <v>2022</v>
      </c>
      <c r="B3" t="s">
        <v>8</v>
      </c>
      <c r="C3">
        <v>10.88</v>
      </c>
    </row>
    <row r="4" spans="1:3" x14ac:dyDescent="0.45">
      <c r="A4">
        <v>2022</v>
      </c>
      <c r="B4" t="s">
        <v>9</v>
      </c>
      <c r="C4">
        <v>48.44</v>
      </c>
    </row>
    <row r="5" spans="1:3" x14ac:dyDescent="0.45">
      <c r="A5">
        <v>2022</v>
      </c>
      <c r="B5" t="s">
        <v>10</v>
      </c>
      <c r="C5">
        <v>9.32</v>
      </c>
    </row>
    <row r="6" spans="1:3" x14ac:dyDescent="0.45">
      <c r="A6">
        <v>2022</v>
      </c>
      <c r="B6" t="s">
        <v>11</v>
      </c>
      <c r="C6">
        <v>9.85</v>
      </c>
    </row>
    <row r="7" spans="1:3" x14ac:dyDescent="0.45">
      <c r="A7">
        <v>2023</v>
      </c>
      <c r="B7" t="s">
        <v>7</v>
      </c>
      <c r="C7">
        <v>80.92</v>
      </c>
    </row>
    <row r="8" spans="1:3" x14ac:dyDescent="0.45">
      <c r="A8">
        <v>2023</v>
      </c>
      <c r="B8" t="s">
        <v>8</v>
      </c>
      <c r="C8">
        <v>11.37</v>
      </c>
    </row>
    <row r="9" spans="1:3" x14ac:dyDescent="0.45">
      <c r="A9">
        <v>2023</v>
      </c>
      <c r="B9" t="s">
        <v>9</v>
      </c>
      <c r="C9">
        <v>53.6</v>
      </c>
    </row>
    <row r="10" spans="1:3" x14ac:dyDescent="0.45">
      <c r="A10">
        <v>2023</v>
      </c>
      <c r="B10" t="s">
        <v>10</v>
      </c>
      <c r="C10">
        <v>9.7899999999999991</v>
      </c>
    </row>
    <row r="11" spans="1:3" x14ac:dyDescent="0.45">
      <c r="A11">
        <v>2023</v>
      </c>
      <c r="B11" t="s">
        <v>11</v>
      </c>
      <c r="C11">
        <v>8.06</v>
      </c>
    </row>
    <row r="12" spans="1:3" x14ac:dyDescent="0.45">
      <c r="A12">
        <v>2024</v>
      </c>
      <c r="B12" t="s">
        <v>7</v>
      </c>
      <c r="C12">
        <v>79.510000000000005</v>
      </c>
    </row>
    <row r="13" spans="1:3" x14ac:dyDescent="0.45">
      <c r="A13">
        <v>2024</v>
      </c>
      <c r="B13" t="s">
        <v>8</v>
      </c>
      <c r="C13">
        <v>12.28</v>
      </c>
    </row>
    <row r="14" spans="1:3" x14ac:dyDescent="0.45">
      <c r="A14">
        <v>2024</v>
      </c>
      <c r="B14" t="s">
        <v>9</v>
      </c>
      <c r="C14">
        <v>63.24</v>
      </c>
    </row>
    <row r="15" spans="1:3" x14ac:dyDescent="0.45">
      <c r="A15">
        <v>2024</v>
      </c>
      <c r="B15" t="s">
        <v>10</v>
      </c>
      <c r="C15">
        <v>10.67</v>
      </c>
    </row>
    <row r="16" spans="1:3" x14ac:dyDescent="0.45">
      <c r="A16">
        <v>2024</v>
      </c>
      <c r="B16" t="s">
        <v>11</v>
      </c>
      <c r="C16">
        <v>8.25</v>
      </c>
    </row>
    <row r="17" spans="1:3" x14ac:dyDescent="0.45">
      <c r="A17">
        <v>2025</v>
      </c>
      <c r="B17" t="s">
        <v>7</v>
      </c>
      <c r="C17">
        <v>80.78</v>
      </c>
    </row>
    <row r="18" spans="1:3" x14ac:dyDescent="0.45">
      <c r="A18">
        <v>2025</v>
      </c>
      <c r="B18" t="s">
        <v>8</v>
      </c>
      <c r="C18">
        <v>12.48</v>
      </c>
    </row>
    <row r="19" spans="1:3" x14ac:dyDescent="0.45">
      <c r="A19">
        <v>2025</v>
      </c>
      <c r="B19" t="s">
        <v>9</v>
      </c>
      <c r="C19">
        <v>72.86</v>
      </c>
    </row>
    <row r="20" spans="1:3" x14ac:dyDescent="0.45">
      <c r="A20">
        <v>2025</v>
      </c>
      <c r="B20" t="s">
        <v>10</v>
      </c>
      <c r="C20">
        <v>11.18</v>
      </c>
    </row>
    <row r="21" spans="1:3" x14ac:dyDescent="0.45">
      <c r="A21">
        <v>2025</v>
      </c>
      <c r="B21" t="s">
        <v>11</v>
      </c>
      <c r="C21">
        <v>7.86</v>
      </c>
    </row>
    <row r="22" spans="1:3" x14ac:dyDescent="0.45">
      <c r="A22">
        <v>2026</v>
      </c>
      <c r="B22" t="s">
        <v>7</v>
      </c>
      <c r="C22">
        <v>81.819999999999993</v>
      </c>
    </row>
    <row r="23" spans="1:3" x14ac:dyDescent="0.45">
      <c r="A23">
        <v>2026</v>
      </c>
      <c r="B23" t="s">
        <v>8</v>
      </c>
      <c r="C23">
        <v>11</v>
      </c>
    </row>
    <row r="24" spans="1:3" x14ac:dyDescent="0.45">
      <c r="A24">
        <v>2026</v>
      </c>
      <c r="B24" t="s">
        <v>9</v>
      </c>
      <c r="C24">
        <v>83.35</v>
      </c>
    </row>
    <row r="25" spans="1:3" x14ac:dyDescent="0.45">
      <c r="A25">
        <v>2026</v>
      </c>
      <c r="B25" t="s">
        <v>10</v>
      </c>
      <c r="C25">
        <v>12.63</v>
      </c>
    </row>
    <row r="26" spans="1:3" x14ac:dyDescent="0.45">
      <c r="A26">
        <v>2026</v>
      </c>
      <c r="B26" t="s">
        <v>11</v>
      </c>
      <c r="C26">
        <v>9.07</v>
      </c>
    </row>
  </sheetData>
  <autoFilter ref="A1:C26" xr:uid="{9B271AF4-9C2A-4801-8C8C-F37DC71766D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CCDD3-D28C-4043-9CC4-8898BAA789A6}">
  <dimension ref="A1:C26"/>
  <sheetViews>
    <sheetView workbookViewId="0">
      <selection sqref="A1:C1"/>
    </sheetView>
  </sheetViews>
  <sheetFormatPr defaultRowHeight="14.25" x14ac:dyDescent="0.45"/>
  <cols>
    <col min="1" max="1" width="5.265625" customWidth="1"/>
    <col min="2" max="2" width="18.73046875" customWidth="1"/>
    <col min="3" max="3" width="14.796875" customWidth="1"/>
  </cols>
  <sheetData>
    <row r="1" spans="1:3" x14ac:dyDescent="0.45">
      <c r="A1" s="3" t="s">
        <v>0</v>
      </c>
      <c r="B1" s="3" t="s">
        <v>12</v>
      </c>
      <c r="C1" s="3" t="s">
        <v>2</v>
      </c>
    </row>
    <row r="2" spans="1:3" x14ac:dyDescent="0.45">
      <c r="A2">
        <v>2022</v>
      </c>
      <c r="B2" t="s">
        <v>13</v>
      </c>
      <c r="C2">
        <v>37.51</v>
      </c>
    </row>
    <row r="3" spans="1:3" x14ac:dyDescent="0.45">
      <c r="A3">
        <v>2022</v>
      </c>
      <c r="B3" t="s">
        <v>14</v>
      </c>
      <c r="C3">
        <v>24.25</v>
      </c>
    </row>
    <row r="4" spans="1:3" x14ac:dyDescent="0.45">
      <c r="A4">
        <v>2022</v>
      </c>
      <c r="B4" t="s">
        <v>15</v>
      </c>
      <c r="C4">
        <v>34.93</v>
      </c>
    </row>
    <row r="5" spans="1:3" x14ac:dyDescent="0.45">
      <c r="A5">
        <v>2022</v>
      </c>
      <c r="B5" t="s">
        <v>16</v>
      </c>
      <c r="C5">
        <v>8.5299999999999994</v>
      </c>
    </row>
    <row r="6" spans="1:3" x14ac:dyDescent="0.45">
      <c r="A6">
        <v>2022</v>
      </c>
      <c r="B6" t="s">
        <v>17</v>
      </c>
      <c r="C6">
        <v>2.48</v>
      </c>
    </row>
    <row r="7" spans="1:3" x14ac:dyDescent="0.45">
      <c r="A7">
        <v>2023</v>
      </c>
      <c r="B7" t="s">
        <v>13</v>
      </c>
      <c r="C7">
        <v>42.02</v>
      </c>
    </row>
    <row r="8" spans="1:3" x14ac:dyDescent="0.45">
      <c r="A8">
        <v>2023</v>
      </c>
      <c r="B8" t="s">
        <v>14</v>
      </c>
      <c r="C8">
        <v>27.34</v>
      </c>
    </row>
    <row r="9" spans="1:3" x14ac:dyDescent="0.45">
      <c r="A9">
        <v>2023</v>
      </c>
      <c r="B9" t="s">
        <v>15</v>
      </c>
      <c r="C9">
        <v>36.24</v>
      </c>
    </row>
    <row r="10" spans="1:3" x14ac:dyDescent="0.45">
      <c r="A10">
        <v>2023</v>
      </c>
      <c r="B10" t="s">
        <v>16</v>
      </c>
      <c r="C10">
        <v>8.69</v>
      </c>
    </row>
    <row r="11" spans="1:3" x14ac:dyDescent="0.45">
      <c r="A11">
        <v>2023</v>
      </c>
      <c r="B11" t="s">
        <v>17</v>
      </c>
      <c r="C11">
        <v>2.9</v>
      </c>
    </row>
    <row r="12" spans="1:3" x14ac:dyDescent="0.45">
      <c r="A12">
        <v>2024</v>
      </c>
      <c r="B12" t="s">
        <v>13</v>
      </c>
      <c r="C12">
        <v>52.62</v>
      </c>
    </row>
    <row r="13" spans="1:3" x14ac:dyDescent="0.45">
      <c r="A13">
        <v>2024</v>
      </c>
      <c r="B13" t="s">
        <v>14</v>
      </c>
      <c r="C13">
        <v>38.18</v>
      </c>
    </row>
    <row r="14" spans="1:3" x14ac:dyDescent="0.45">
      <c r="A14">
        <v>2024</v>
      </c>
      <c r="B14" t="s">
        <v>15</v>
      </c>
      <c r="C14">
        <v>37.72</v>
      </c>
    </row>
    <row r="15" spans="1:3" x14ac:dyDescent="0.45">
      <c r="A15">
        <v>2024</v>
      </c>
      <c r="B15" t="s">
        <v>16</v>
      </c>
      <c r="C15">
        <v>7.93</v>
      </c>
    </row>
    <row r="16" spans="1:3" x14ac:dyDescent="0.45">
      <c r="A16">
        <v>2024</v>
      </c>
      <c r="B16" t="s">
        <v>17</v>
      </c>
      <c r="C16">
        <v>3.47</v>
      </c>
    </row>
    <row r="17" spans="1:3" x14ac:dyDescent="0.45">
      <c r="A17">
        <v>2025</v>
      </c>
      <c r="B17" t="s">
        <v>13</v>
      </c>
      <c r="C17">
        <v>62.96</v>
      </c>
    </row>
    <row r="18" spans="1:3" x14ac:dyDescent="0.45">
      <c r="A18">
        <v>2025</v>
      </c>
      <c r="B18" t="s">
        <v>14</v>
      </c>
      <c r="C18">
        <v>48.64</v>
      </c>
    </row>
    <row r="19" spans="1:3" x14ac:dyDescent="0.45">
      <c r="A19">
        <v>2025</v>
      </c>
      <c r="B19" t="s">
        <v>15</v>
      </c>
      <c r="C19">
        <v>37.229999999999997</v>
      </c>
    </row>
    <row r="20" spans="1:3" x14ac:dyDescent="0.45">
      <c r="A20">
        <v>2025</v>
      </c>
      <c r="B20" t="s">
        <v>16</v>
      </c>
      <c r="C20">
        <v>8.39</v>
      </c>
    </row>
    <row r="21" spans="1:3" x14ac:dyDescent="0.45">
      <c r="A21">
        <v>2025</v>
      </c>
      <c r="B21" t="s">
        <v>17</v>
      </c>
      <c r="C21">
        <v>3.89</v>
      </c>
    </row>
    <row r="22" spans="1:3" x14ac:dyDescent="0.45">
      <c r="A22">
        <v>2026</v>
      </c>
      <c r="B22" t="s">
        <v>13</v>
      </c>
      <c r="C22">
        <v>74.55</v>
      </c>
    </row>
    <row r="23" spans="1:3" x14ac:dyDescent="0.45">
      <c r="A23">
        <v>2026</v>
      </c>
      <c r="B23" t="s">
        <v>14</v>
      </c>
      <c r="C23">
        <v>56.67</v>
      </c>
    </row>
    <row r="24" spans="1:3" x14ac:dyDescent="0.45">
      <c r="A24">
        <v>2026</v>
      </c>
      <c r="B24" t="s">
        <v>15</v>
      </c>
      <c r="C24">
        <v>36.75</v>
      </c>
    </row>
    <row r="25" spans="1:3" x14ac:dyDescent="0.45">
      <c r="A25">
        <v>2026</v>
      </c>
      <c r="B25" t="s">
        <v>16</v>
      </c>
      <c r="C25">
        <v>9.99</v>
      </c>
    </row>
    <row r="26" spans="1:3" x14ac:dyDescent="0.45">
      <c r="A26">
        <v>2026</v>
      </c>
      <c r="B26" t="s">
        <v>17</v>
      </c>
      <c r="C26">
        <v>4.76</v>
      </c>
    </row>
  </sheetData>
  <autoFilter ref="A4:C26" xr:uid="{9A5CCDD3-D28C-4043-9CC4-8898BAA789A6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310C-62B5-45A6-9FA6-F5E08F90ABAF}">
  <dimension ref="A1:C21"/>
  <sheetViews>
    <sheetView tabSelected="1" workbookViewId="0">
      <selection activeCell="D4" sqref="D4"/>
    </sheetView>
  </sheetViews>
  <sheetFormatPr defaultRowHeight="14.25" x14ac:dyDescent="0.45"/>
  <cols>
    <col min="1" max="1" width="5.265625" customWidth="1"/>
    <col min="2" max="2" width="14" customWidth="1"/>
    <col min="3" max="3" width="14.1328125" style="1" customWidth="1"/>
  </cols>
  <sheetData>
    <row r="1" spans="1:3" x14ac:dyDescent="0.45">
      <c r="A1" s="3" t="s">
        <v>0</v>
      </c>
      <c r="B1" s="3" t="s">
        <v>12</v>
      </c>
      <c r="C1" s="4" t="s">
        <v>2</v>
      </c>
    </row>
    <row r="2" spans="1:3" x14ac:dyDescent="0.45">
      <c r="A2">
        <v>2022</v>
      </c>
      <c r="B2" t="s">
        <v>18</v>
      </c>
      <c r="C2" s="1">
        <v>4.1900000000000004</v>
      </c>
    </row>
    <row r="3" spans="1:3" x14ac:dyDescent="0.45">
      <c r="A3">
        <v>2022</v>
      </c>
      <c r="B3" t="s">
        <v>19</v>
      </c>
      <c r="C3" s="1">
        <v>5.86</v>
      </c>
    </row>
    <row r="4" spans="1:3" x14ac:dyDescent="0.45">
      <c r="A4">
        <v>2022</v>
      </c>
      <c r="B4" t="s">
        <v>20</v>
      </c>
      <c r="C4" s="1">
        <v>1.19</v>
      </c>
    </row>
    <row r="5" spans="1:3" x14ac:dyDescent="0.45">
      <c r="A5">
        <v>2022</v>
      </c>
      <c r="B5" t="s">
        <v>21</v>
      </c>
      <c r="C5" s="1">
        <v>0.47</v>
      </c>
    </row>
    <row r="6" spans="1:3" x14ac:dyDescent="0.45">
      <c r="A6">
        <v>2023</v>
      </c>
      <c r="B6" t="s">
        <v>18</v>
      </c>
      <c r="C6" s="1">
        <v>4.9400000000000004</v>
      </c>
    </row>
    <row r="7" spans="1:3" x14ac:dyDescent="0.45">
      <c r="A7">
        <v>2023</v>
      </c>
      <c r="B7" t="s">
        <v>19</v>
      </c>
      <c r="C7" s="1">
        <v>7.14</v>
      </c>
    </row>
    <row r="8" spans="1:3" x14ac:dyDescent="0.45">
      <c r="A8">
        <v>2023</v>
      </c>
      <c r="B8" t="s">
        <v>20</v>
      </c>
      <c r="C8" s="1">
        <v>1.41</v>
      </c>
    </row>
    <row r="9" spans="1:3" x14ac:dyDescent="0.45">
      <c r="A9">
        <v>2023</v>
      </c>
      <c r="B9" t="s">
        <v>21</v>
      </c>
      <c r="C9" s="1">
        <v>0.76</v>
      </c>
    </row>
    <row r="10" spans="1:3" x14ac:dyDescent="0.45">
      <c r="A10">
        <v>2024</v>
      </c>
      <c r="B10" t="s">
        <v>18</v>
      </c>
      <c r="C10" s="1">
        <v>6.48</v>
      </c>
    </row>
    <row r="11" spans="1:3" x14ac:dyDescent="0.45">
      <c r="A11">
        <v>2024</v>
      </c>
      <c r="B11" t="s">
        <v>19</v>
      </c>
      <c r="C11" s="1">
        <v>7.25</v>
      </c>
    </row>
    <row r="12" spans="1:3" x14ac:dyDescent="0.45">
      <c r="A12">
        <v>2024</v>
      </c>
      <c r="B12" t="s">
        <v>20</v>
      </c>
      <c r="C12" s="1">
        <v>1.38</v>
      </c>
    </row>
    <row r="13" spans="1:3" x14ac:dyDescent="0.45">
      <c r="A13">
        <v>2024</v>
      </c>
      <c r="B13" t="s">
        <v>21</v>
      </c>
      <c r="C13" s="1">
        <v>0.84</v>
      </c>
    </row>
    <row r="14" spans="1:3" x14ac:dyDescent="0.45">
      <c r="A14">
        <v>2025</v>
      </c>
      <c r="B14" t="s">
        <v>18</v>
      </c>
      <c r="C14" s="1">
        <v>7.56</v>
      </c>
    </row>
    <row r="15" spans="1:3" x14ac:dyDescent="0.45">
      <c r="A15">
        <v>2025</v>
      </c>
      <c r="B15" t="s">
        <v>19</v>
      </c>
      <c r="C15" s="1">
        <v>8.23</v>
      </c>
    </row>
    <row r="16" spans="1:3" x14ac:dyDescent="0.45">
      <c r="A16">
        <v>2025</v>
      </c>
      <c r="B16" t="s">
        <v>20</v>
      </c>
      <c r="C16" s="1">
        <v>1.28</v>
      </c>
    </row>
    <row r="17" spans="1:3" x14ac:dyDescent="0.45">
      <c r="A17">
        <v>2025</v>
      </c>
      <c r="B17" t="s">
        <v>21</v>
      </c>
      <c r="C17" s="1">
        <v>0.94</v>
      </c>
    </row>
    <row r="18" spans="1:3" x14ac:dyDescent="0.45">
      <c r="A18">
        <v>2026</v>
      </c>
      <c r="B18" t="s">
        <v>18</v>
      </c>
      <c r="C18" s="1">
        <v>9.0299999999999994</v>
      </c>
    </row>
    <row r="19" spans="1:3" x14ac:dyDescent="0.45">
      <c r="A19">
        <v>2026</v>
      </c>
      <c r="B19" t="s">
        <v>19</v>
      </c>
      <c r="C19" s="1">
        <v>8.56</v>
      </c>
    </row>
    <row r="20" spans="1:3" x14ac:dyDescent="0.45">
      <c r="A20">
        <v>2026</v>
      </c>
      <c r="B20" t="s">
        <v>20</v>
      </c>
      <c r="C20" s="1">
        <v>1.48</v>
      </c>
    </row>
    <row r="21" spans="1:3" x14ac:dyDescent="0.45">
      <c r="A21">
        <v>2026</v>
      </c>
      <c r="B21" t="s">
        <v>21</v>
      </c>
      <c r="C21" s="1">
        <v>1.1299999999999999</v>
      </c>
    </row>
  </sheetData>
  <autoFilter ref="A1:C21" xr:uid="{16DD310C-62B5-45A6-9FA6-F5E08F90ABA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5A0DA-1253-44F4-A65B-CF898257B0C0}">
  <dimension ref="A1:D51"/>
  <sheetViews>
    <sheetView workbookViewId="0">
      <selection sqref="A1:D1"/>
    </sheetView>
  </sheetViews>
  <sheetFormatPr defaultRowHeight="14.25" x14ac:dyDescent="0.45"/>
  <cols>
    <col min="1" max="1" width="5.6640625" customWidth="1"/>
    <col min="2" max="2" width="23.796875" customWidth="1"/>
  </cols>
  <sheetData>
    <row r="1" spans="1:4" x14ac:dyDescent="0.45">
      <c r="A1" s="3" t="s">
        <v>0</v>
      </c>
      <c r="B1" s="3" t="s">
        <v>22</v>
      </c>
      <c r="C1" s="3" t="s">
        <v>23</v>
      </c>
      <c r="D1" s="3" t="s">
        <v>24</v>
      </c>
    </row>
    <row r="2" spans="1:4" x14ac:dyDescent="0.45">
      <c r="A2">
        <v>2022</v>
      </c>
      <c r="B2" t="s">
        <v>25</v>
      </c>
      <c r="C2">
        <v>32.81</v>
      </c>
      <c r="D2" t="s">
        <v>26</v>
      </c>
    </row>
    <row r="3" spans="1:4" x14ac:dyDescent="0.45">
      <c r="A3">
        <v>2023</v>
      </c>
      <c r="B3" t="s">
        <v>25</v>
      </c>
      <c r="C3">
        <v>33.11</v>
      </c>
      <c r="D3" t="s">
        <v>26</v>
      </c>
    </row>
    <row r="4" spans="1:4" x14ac:dyDescent="0.45">
      <c r="A4">
        <v>2024</v>
      </c>
      <c r="B4" t="s">
        <v>25</v>
      </c>
      <c r="C4">
        <v>34.64</v>
      </c>
      <c r="D4" t="s">
        <v>26</v>
      </c>
    </row>
    <row r="5" spans="1:4" x14ac:dyDescent="0.45">
      <c r="A5">
        <v>2025</v>
      </c>
      <c r="B5" t="s">
        <v>25</v>
      </c>
      <c r="C5">
        <v>37.11</v>
      </c>
      <c r="D5" t="s">
        <v>26</v>
      </c>
    </row>
    <row r="6" spans="1:4" x14ac:dyDescent="0.45">
      <c r="A6">
        <v>2026</v>
      </c>
      <c r="B6" t="s">
        <v>25</v>
      </c>
      <c r="C6">
        <v>39.92</v>
      </c>
      <c r="D6" t="s">
        <v>26</v>
      </c>
    </row>
    <row r="7" spans="1:4" x14ac:dyDescent="0.45">
      <c r="A7">
        <v>2022</v>
      </c>
      <c r="B7" t="s">
        <v>27</v>
      </c>
      <c r="C7">
        <v>30.53</v>
      </c>
      <c r="D7" t="s">
        <v>26</v>
      </c>
    </row>
    <row r="8" spans="1:4" x14ac:dyDescent="0.45">
      <c r="A8">
        <v>2023</v>
      </c>
      <c r="B8" t="s">
        <v>27</v>
      </c>
      <c r="C8">
        <v>32.11</v>
      </c>
      <c r="D8" t="s">
        <v>26</v>
      </c>
    </row>
    <row r="9" spans="1:4" x14ac:dyDescent="0.45">
      <c r="A9">
        <v>2024</v>
      </c>
      <c r="B9" t="s">
        <v>27</v>
      </c>
      <c r="C9">
        <v>32.409999999999997</v>
      </c>
      <c r="D9" t="s">
        <v>26</v>
      </c>
    </row>
    <row r="10" spans="1:4" x14ac:dyDescent="0.45">
      <c r="A10">
        <v>2025</v>
      </c>
      <c r="B10" t="s">
        <v>27</v>
      </c>
      <c r="C10">
        <v>35.82</v>
      </c>
      <c r="D10" t="s">
        <v>26</v>
      </c>
    </row>
    <row r="11" spans="1:4" x14ac:dyDescent="0.45">
      <c r="A11">
        <v>2026</v>
      </c>
      <c r="B11" t="s">
        <v>27</v>
      </c>
      <c r="C11">
        <v>40.99</v>
      </c>
      <c r="D11" t="s">
        <v>26</v>
      </c>
    </row>
    <row r="12" spans="1:4" x14ac:dyDescent="0.45">
      <c r="A12">
        <v>2022</v>
      </c>
      <c r="B12" t="s">
        <v>28</v>
      </c>
      <c r="C12">
        <v>25.22</v>
      </c>
      <c r="D12" t="s">
        <v>26</v>
      </c>
    </row>
    <row r="13" spans="1:4" x14ac:dyDescent="0.45">
      <c r="A13">
        <v>2023</v>
      </c>
      <c r="B13" t="s">
        <v>28</v>
      </c>
      <c r="C13">
        <v>26.07</v>
      </c>
      <c r="D13" t="s">
        <v>26</v>
      </c>
    </row>
    <row r="14" spans="1:4" x14ac:dyDescent="0.45">
      <c r="A14">
        <v>2024</v>
      </c>
      <c r="B14" t="s">
        <v>28</v>
      </c>
      <c r="C14">
        <v>27.59</v>
      </c>
      <c r="D14" t="s">
        <v>26</v>
      </c>
    </row>
    <row r="15" spans="1:4" x14ac:dyDescent="0.45">
      <c r="A15">
        <v>2025</v>
      </c>
      <c r="B15" t="s">
        <v>28</v>
      </c>
      <c r="C15">
        <v>30.69</v>
      </c>
      <c r="D15" t="s">
        <v>26</v>
      </c>
    </row>
    <row r="16" spans="1:4" x14ac:dyDescent="0.45">
      <c r="A16">
        <v>2026</v>
      </c>
      <c r="B16" t="s">
        <v>28</v>
      </c>
      <c r="C16">
        <v>34.130000000000003</v>
      </c>
      <c r="D16" t="s">
        <v>26</v>
      </c>
    </row>
    <row r="17" spans="1:4" x14ac:dyDescent="0.45">
      <c r="A17">
        <v>2022</v>
      </c>
      <c r="B17" t="s">
        <v>29</v>
      </c>
      <c r="C17">
        <v>28.38</v>
      </c>
      <c r="D17" t="s">
        <v>26</v>
      </c>
    </row>
    <row r="18" spans="1:4" x14ac:dyDescent="0.45">
      <c r="A18">
        <v>2023</v>
      </c>
      <c r="B18" t="s">
        <v>29</v>
      </c>
      <c r="C18">
        <v>26.19</v>
      </c>
      <c r="D18" t="s">
        <v>26</v>
      </c>
    </row>
    <row r="19" spans="1:4" x14ac:dyDescent="0.45">
      <c r="A19">
        <v>2024</v>
      </c>
      <c r="B19" t="s">
        <v>29</v>
      </c>
      <c r="C19">
        <v>28.28</v>
      </c>
      <c r="D19" t="s">
        <v>26</v>
      </c>
    </row>
    <row r="20" spans="1:4" x14ac:dyDescent="0.45">
      <c r="A20">
        <v>2025</v>
      </c>
      <c r="B20" t="s">
        <v>29</v>
      </c>
      <c r="C20">
        <v>30.12</v>
      </c>
      <c r="D20" t="s">
        <v>26</v>
      </c>
    </row>
    <row r="21" spans="1:4" x14ac:dyDescent="0.45">
      <c r="A21">
        <v>2026</v>
      </c>
      <c r="B21" t="s">
        <v>29</v>
      </c>
      <c r="C21">
        <v>31.55</v>
      </c>
      <c r="D21" t="s">
        <v>26</v>
      </c>
    </row>
    <row r="22" spans="1:4" x14ac:dyDescent="0.45">
      <c r="A22">
        <v>2022</v>
      </c>
      <c r="B22" t="s">
        <v>30</v>
      </c>
      <c r="C22">
        <v>725.04</v>
      </c>
      <c r="D22" t="s">
        <v>31</v>
      </c>
    </row>
    <row r="23" spans="1:4" x14ac:dyDescent="0.45">
      <c r="A23">
        <v>2023</v>
      </c>
      <c r="B23" t="s">
        <v>30</v>
      </c>
      <c r="C23">
        <v>750.17</v>
      </c>
      <c r="D23" t="s">
        <v>31</v>
      </c>
    </row>
    <row r="24" spans="1:4" x14ac:dyDescent="0.45">
      <c r="A24">
        <v>2024</v>
      </c>
      <c r="B24" t="s">
        <v>30</v>
      </c>
      <c r="C24">
        <v>814.79</v>
      </c>
      <c r="D24" t="s">
        <v>31</v>
      </c>
    </row>
    <row r="25" spans="1:4" x14ac:dyDescent="0.45">
      <c r="A25">
        <v>2025</v>
      </c>
      <c r="B25" t="s">
        <v>30</v>
      </c>
      <c r="C25">
        <v>854.11</v>
      </c>
      <c r="D25" t="s">
        <v>31</v>
      </c>
    </row>
    <row r="26" spans="1:4" x14ac:dyDescent="0.45">
      <c r="A26">
        <v>2026</v>
      </c>
      <c r="B26" t="s">
        <v>30</v>
      </c>
      <c r="C26">
        <v>864.95</v>
      </c>
      <c r="D26" t="s">
        <v>31</v>
      </c>
    </row>
    <row r="27" spans="1:4" x14ac:dyDescent="0.45">
      <c r="A27">
        <v>2022</v>
      </c>
      <c r="B27" t="s">
        <v>32</v>
      </c>
      <c r="C27">
        <v>305.37</v>
      </c>
      <c r="D27" t="s">
        <v>31</v>
      </c>
    </row>
    <row r="28" spans="1:4" x14ac:dyDescent="0.45">
      <c r="A28">
        <v>2023</v>
      </c>
      <c r="B28" t="s">
        <v>32</v>
      </c>
      <c r="C28">
        <v>311.27999999999997</v>
      </c>
      <c r="D28" t="s">
        <v>31</v>
      </c>
    </row>
    <row r="29" spans="1:4" x14ac:dyDescent="0.45">
      <c r="A29">
        <v>2024</v>
      </c>
      <c r="B29" t="s">
        <v>32</v>
      </c>
      <c r="C29">
        <v>361.32</v>
      </c>
      <c r="D29" t="s">
        <v>31</v>
      </c>
    </row>
    <row r="30" spans="1:4" x14ac:dyDescent="0.45">
      <c r="A30">
        <v>2025</v>
      </c>
      <c r="B30" t="s">
        <v>32</v>
      </c>
      <c r="C30">
        <v>395.22</v>
      </c>
      <c r="D30" t="s">
        <v>31</v>
      </c>
    </row>
    <row r="31" spans="1:4" x14ac:dyDescent="0.45">
      <c r="A31">
        <v>2026</v>
      </c>
      <c r="B31" t="s">
        <v>32</v>
      </c>
      <c r="C31">
        <v>391.04</v>
      </c>
      <c r="D31" t="s">
        <v>31</v>
      </c>
    </row>
    <row r="32" spans="1:4" x14ac:dyDescent="0.45">
      <c r="A32">
        <v>2022</v>
      </c>
      <c r="B32" t="s">
        <v>33</v>
      </c>
      <c r="C32">
        <v>205.73</v>
      </c>
      <c r="D32" t="s">
        <v>31</v>
      </c>
    </row>
    <row r="33" spans="1:4" x14ac:dyDescent="0.45">
      <c r="A33">
        <v>2023</v>
      </c>
      <c r="B33" t="s">
        <v>33</v>
      </c>
      <c r="C33">
        <v>239.04</v>
      </c>
      <c r="D33" t="s">
        <v>31</v>
      </c>
    </row>
    <row r="34" spans="1:4" x14ac:dyDescent="0.45">
      <c r="A34">
        <v>2024</v>
      </c>
      <c r="B34" t="s">
        <v>33</v>
      </c>
      <c r="C34">
        <v>242.71</v>
      </c>
      <c r="D34" t="s">
        <v>31</v>
      </c>
    </row>
    <row r="35" spans="1:4" x14ac:dyDescent="0.45">
      <c r="A35">
        <v>2025</v>
      </c>
      <c r="B35" t="s">
        <v>33</v>
      </c>
      <c r="C35">
        <v>267.11</v>
      </c>
      <c r="D35" t="s">
        <v>31</v>
      </c>
    </row>
    <row r="36" spans="1:4" x14ac:dyDescent="0.45">
      <c r="A36">
        <v>2026</v>
      </c>
      <c r="B36" t="s">
        <v>33</v>
      </c>
      <c r="C36">
        <v>274</v>
      </c>
      <c r="D36" t="s">
        <v>31</v>
      </c>
    </row>
    <row r="37" spans="1:4" x14ac:dyDescent="0.45">
      <c r="A37">
        <v>2022</v>
      </c>
      <c r="B37" t="s">
        <v>34</v>
      </c>
      <c r="C37">
        <v>20.25</v>
      </c>
      <c r="D37" t="s">
        <v>35</v>
      </c>
    </row>
    <row r="38" spans="1:4" x14ac:dyDescent="0.45">
      <c r="A38">
        <v>2023</v>
      </c>
      <c r="B38" t="s">
        <v>34</v>
      </c>
      <c r="C38">
        <v>23.54</v>
      </c>
      <c r="D38" t="s">
        <v>35</v>
      </c>
    </row>
    <row r="39" spans="1:4" x14ac:dyDescent="0.45">
      <c r="A39">
        <v>2024</v>
      </c>
      <c r="B39" t="s">
        <v>34</v>
      </c>
      <c r="C39">
        <v>31.51</v>
      </c>
      <c r="D39" t="s">
        <v>35</v>
      </c>
    </row>
    <row r="40" spans="1:4" x14ac:dyDescent="0.45">
      <c r="A40">
        <v>2025</v>
      </c>
      <c r="B40" t="s">
        <v>34</v>
      </c>
      <c r="C40">
        <v>37.92</v>
      </c>
      <c r="D40" t="s">
        <v>35</v>
      </c>
    </row>
    <row r="41" spans="1:4" x14ac:dyDescent="0.45">
      <c r="A41">
        <v>2026</v>
      </c>
      <c r="B41" t="s">
        <v>34</v>
      </c>
      <c r="C41">
        <v>42.27</v>
      </c>
      <c r="D41" t="s">
        <v>35</v>
      </c>
    </row>
    <row r="42" spans="1:4" x14ac:dyDescent="0.45">
      <c r="A42">
        <v>2022</v>
      </c>
      <c r="B42" t="s">
        <v>36</v>
      </c>
      <c r="C42">
        <v>2.2599999999999998</v>
      </c>
      <c r="D42" t="s">
        <v>37</v>
      </c>
    </row>
    <row r="43" spans="1:4" x14ac:dyDescent="0.45">
      <c r="A43">
        <v>2023</v>
      </c>
      <c r="B43" t="s">
        <v>36</v>
      </c>
      <c r="C43">
        <v>3.48</v>
      </c>
      <c r="D43" t="s">
        <v>37</v>
      </c>
    </row>
    <row r="44" spans="1:4" x14ac:dyDescent="0.45">
      <c r="A44">
        <v>2024</v>
      </c>
      <c r="B44" t="s">
        <v>36</v>
      </c>
      <c r="C44">
        <v>3.7</v>
      </c>
      <c r="D44" t="s">
        <v>37</v>
      </c>
    </row>
    <row r="45" spans="1:4" x14ac:dyDescent="0.45">
      <c r="A45">
        <v>2025</v>
      </c>
      <c r="B45" t="s">
        <v>36</v>
      </c>
      <c r="C45">
        <v>4.22</v>
      </c>
      <c r="D45" t="s">
        <v>37</v>
      </c>
    </row>
    <row r="46" spans="1:4" x14ac:dyDescent="0.45">
      <c r="A46">
        <v>2026</v>
      </c>
      <c r="B46" t="s">
        <v>36</v>
      </c>
      <c r="C46">
        <v>4.92</v>
      </c>
      <c r="D46" t="s">
        <v>37</v>
      </c>
    </row>
    <row r="47" spans="1:4" x14ac:dyDescent="0.45">
      <c r="A47">
        <v>2022</v>
      </c>
      <c r="B47" t="s">
        <v>38</v>
      </c>
      <c r="C47">
        <v>8.8800000000000008</v>
      </c>
      <c r="D47" t="s">
        <v>39</v>
      </c>
    </row>
    <row r="48" spans="1:4" x14ac:dyDescent="0.45">
      <c r="A48">
        <v>2023</v>
      </c>
      <c r="B48" t="s">
        <v>38</v>
      </c>
      <c r="C48">
        <v>6.7</v>
      </c>
      <c r="D48" t="s">
        <v>39</v>
      </c>
    </row>
    <row r="49" spans="1:4" x14ac:dyDescent="0.45">
      <c r="A49">
        <v>2024</v>
      </c>
      <c r="B49" t="s">
        <v>38</v>
      </c>
      <c r="C49">
        <v>6.4</v>
      </c>
      <c r="D49" t="s">
        <v>39</v>
      </c>
    </row>
    <row r="50" spans="1:4" x14ac:dyDescent="0.45">
      <c r="A50">
        <v>2025</v>
      </c>
      <c r="B50" t="s">
        <v>38</v>
      </c>
      <c r="C50">
        <v>6.19</v>
      </c>
      <c r="D50" t="s">
        <v>39</v>
      </c>
    </row>
    <row r="51" spans="1:4" x14ac:dyDescent="0.45">
      <c r="A51">
        <v>2026</v>
      </c>
      <c r="B51" t="s">
        <v>38</v>
      </c>
      <c r="C51">
        <v>5.44</v>
      </c>
      <c r="D51" t="s">
        <v>39</v>
      </c>
    </row>
  </sheetData>
  <autoFilter ref="A1:D51" xr:uid="{6695A0DA-1253-44F4-A65B-CF898257B0C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0597A-C6BB-4956-BD1C-EB218B479AD2}">
  <dimension ref="A1:F9"/>
  <sheetViews>
    <sheetView workbookViewId="0">
      <selection activeCell="F14" sqref="F14"/>
    </sheetView>
  </sheetViews>
  <sheetFormatPr defaultRowHeight="14.25" x14ac:dyDescent="0.45"/>
  <cols>
    <col min="1" max="1" width="30.796875" customWidth="1"/>
    <col min="2" max="2" width="24.86328125" customWidth="1"/>
    <col min="3" max="3" width="17" customWidth="1"/>
    <col min="4" max="4" width="18" customWidth="1"/>
    <col min="5" max="5" width="17.19921875" customWidth="1"/>
    <col min="6" max="6" width="18.796875" customWidth="1"/>
  </cols>
  <sheetData>
    <row r="1" spans="1:6" x14ac:dyDescent="0.45">
      <c r="A1" s="3" t="s">
        <v>40</v>
      </c>
      <c r="B1" s="3" t="s">
        <v>53</v>
      </c>
      <c r="C1" s="3" t="s">
        <v>54</v>
      </c>
      <c r="D1" s="3" t="s">
        <v>41</v>
      </c>
      <c r="E1" s="3" t="s">
        <v>42</v>
      </c>
      <c r="F1" s="3" t="s">
        <v>43</v>
      </c>
    </row>
    <row r="2" spans="1:6" x14ac:dyDescent="0.45">
      <c r="A2" t="s">
        <v>44</v>
      </c>
      <c r="B2" t="s">
        <v>64</v>
      </c>
      <c r="C2" t="s">
        <v>55</v>
      </c>
      <c r="D2" t="s">
        <v>65</v>
      </c>
      <c r="E2" t="s">
        <v>3</v>
      </c>
      <c r="F2" t="s">
        <v>66</v>
      </c>
    </row>
    <row r="3" spans="1:6" x14ac:dyDescent="0.45">
      <c r="A3" t="s">
        <v>56</v>
      </c>
      <c r="B3" t="s">
        <v>67</v>
      </c>
      <c r="C3" t="s">
        <v>55</v>
      </c>
      <c r="D3" t="s">
        <v>65</v>
      </c>
      <c r="E3" t="s">
        <v>4</v>
      </c>
      <c r="F3" t="s">
        <v>66</v>
      </c>
    </row>
    <row r="4" spans="1:6" x14ac:dyDescent="0.45">
      <c r="A4" t="s">
        <v>68</v>
      </c>
      <c r="B4" t="s">
        <v>69</v>
      </c>
      <c r="C4" t="s">
        <v>55</v>
      </c>
      <c r="D4" t="s">
        <v>65</v>
      </c>
      <c r="E4" t="s">
        <v>5</v>
      </c>
      <c r="F4" t="s">
        <v>66</v>
      </c>
    </row>
    <row r="5" spans="1:6" x14ac:dyDescent="0.45">
      <c r="A5" t="s">
        <v>45</v>
      </c>
      <c r="B5" t="s">
        <v>25</v>
      </c>
      <c r="C5" t="s">
        <v>55</v>
      </c>
      <c r="D5" t="s">
        <v>65</v>
      </c>
      <c r="E5" t="s">
        <v>46</v>
      </c>
      <c r="F5" t="s">
        <v>57</v>
      </c>
    </row>
    <row r="6" spans="1:6" x14ac:dyDescent="0.45">
      <c r="A6" t="s">
        <v>32</v>
      </c>
      <c r="B6" t="s">
        <v>70</v>
      </c>
      <c r="C6" t="s">
        <v>55</v>
      </c>
      <c r="D6" t="s">
        <v>65</v>
      </c>
      <c r="E6" t="s">
        <v>46</v>
      </c>
      <c r="F6" t="s">
        <v>31</v>
      </c>
    </row>
    <row r="7" spans="1:6" x14ac:dyDescent="0.45">
      <c r="A7" t="s">
        <v>47</v>
      </c>
      <c r="B7" t="s">
        <v>71</v>
      </c>
      <c r="C7" t="s">
        <v>55</v>
      </c>
      <c r="D7" t="s">
        <v>65</v>
      </c>
      <c r="E7" t="s">
        <v>9</v>
      </c>
      <c r="F7" t="s">
        <v>37</v>
      </c>
    </row>
    <row r="8" spans="1:6" x14ac:dyDescent="0.45">
      <c r="A8" t="s">
        <v>58</v>
      </c>
      <c r="B8" t="s">
        <v>72</v>
      </c>
      <c r="C8" t="s">
        <v>55</v>
      </c>
      <c r="D8" t="s">
        <v>65</v>
      </c>
      <c r="E8" t="s">
        <v>9</v>
      </c>
      <c r="F8" t="s">
        <v>73</v>
      </c>
    </row>
    <row r="9" spans="1:6" x14ac:dyDescent="0.45">
      <c r="A9" t="s">
        <v>74</v>
      </c>
      <c r="B9" t="s">
        <v>75</v>
      </c>
      <c r="C9" t="s">
        <v>55</v>
      </c>
      <c r="D9" t="s">
        <v>65</v>
      </c>
      <c r="E9" t="s">
        <v>46</v>
      </c>
      <c r="F9" t="s">
        <v>76</v>
      </c>
    </row>
  </sheetData>
  <autoFilter ref="A1:F9" xr:uid="{C340597A-C6BB-4956-BD1C-EB218B479AD2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38A72-1A1D-4A71-9C5E-FA9FDEA193E3}">
  <dimension ref="A1:B4"/>
  <sheetViews>
    <sheetView workbookViewId="0">
      <selection activeCell="B1" sqref="B1"/>
    </sheetView>
  </sheetViews>
  <sheetFormatPr defaultRowHeight="14.25" x14ac:dyDescent="0.45"/>
  <cols>
    <col min="1" max="1" width="17.9296875" customWidth="1"/>
    <col min="2" max="2" width="17.06640625" style="2" customWidth="1"/>
  </cols>
  <sheetData>
    <row r="1" spans="1:2" x14ac:dyDescent="0.45">
      <c r="A1" s="3" t="s">
        <v>52</v>
      </c>
      <c r="B1" s="5" t="s">
        <v>48</v>
      </c>
    </row>
    <row r="2" spans="1:2" x14ac:dyDescent="0.45">
      <c r="A2" t="s">
        <v>3</v>
      </c>
      <c r="B2" s="2">
        <f>(Revenue!C14/Revenue!C2)^(1/4)-1</f>
        <v>0.14132313149393672</v>
      </c>
    </row>
    <row r="3" spans="1:2" x14ac:dyDescent="0.45">
      <c r="A3" t="s">
        <v>4</v>
      </c>
      <c r="B3" s="2">
        <f>(Revenue!C15/Revenue!C3)^(1/4)-1</f>
        <v>5.1762018643969343E-2</v>
      </c>
    </row>
    <row r="4" spans="1:2" x14ac:dyDescent="0.45">
      <c r="A4" t="s">
        <v>5</v>
      </c>
      <c r="B4" s="2">
        <f>(Revenue!C16/Revenue!C4)^(1/4)-1</f>
        <v>0.14579240574553132</v>
      </c>
    </row>
  </sheetData>
  <autoFilter ref="A1:B4" xr:uid="{8E538A72-1A1D-4A71-9C5E-FA9FDEA193E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Revenue</vt:lpstr>
      <vt:lpstr>Pivot 2 Revenue</vt:lpstr>
      <vt:lpstr>Revenue</vt:lpstr>
      <vt:lpstr>Connectivity</vt:lpstr>
      <vt:lpstr>Mpesa</vt:lpstr>
      <vt:lpstr>Fixed service &amp; IoT</vt:lpstr>
      <vt:lpstr>Customer_KPI</vt:lpstr>
      <vt:lpstr>Source_Log</vt:lpstr>
      <vt:lpstr>CAGR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Waiguru</dc:creator>
  <cp:lastModifiedBy>Martin Waiguru</cp:lastModifiedBy>
  <dcterms:created xsi:type="dcterms:W3CDTF">2026-09-21T13:42:04Z</dcterms:created>
  <dcterms:modified xsi:type="dcterms:W3CDTF">2026-09-29T19:46:25Z</dcterms:modified>
</cp:coreProperties>
</file>